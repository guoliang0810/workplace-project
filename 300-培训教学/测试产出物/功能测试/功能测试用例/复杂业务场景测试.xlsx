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mc:AlternateContent xmlns:mc="http://schemas.openxmlformats.org/markup-compatibility/2006">
    <mc:Choice Requires="x15">
      <x15ac:absPath xmlns:x15ac="http://schemas.microsoft.com/office/spreadsheetml/2010/11/ac" url="D:\代码\实训项目对标2\移动测试-实训项目对标2\阶段3\生产实训平台\测试产出物\功能测试\"/>
    </mc:Choice>
  </mc:AlternateContent>
  <xr:revisionPtr revIDLastSave="0" documentId="8_{9B507282-3968-4A4F-A71C-E139F1826559}" xr6:coauthVersionLast="46" xr6:coauthVersionMax="46" xr10:uidLastSave="{00000000-0000-0000-0000-000000000000}"/>
  <bookViews>
    <workbookView xWindow="2544" yWindow="1236" windowWidth="19740" windowHeight="10464" xr2:uid="{00000000-000D-0000-FFFF-FFFF00000000}"/>
  </bookViews>
  <sheets>
    <sheet name="老师端" sheetId="1" r:id="rId1"/>
    <sheet name="学生端" sheetId="2" r:id="rId2"/>
  </sheets>
  <calcPr calcId="191029" concurrentCalc="0"/>
  <fileRecoveryPr repairLoad="1"/>
</workbook>
</file>

<file path=xl/calcChain.xml><?xml version="1.0" encoding="utf-8"?>
<calcChain xmlns="http://schemas.openxmlformats.org/spreadsheetml/2006/main">
  <c r="B1" i="1" l="1"/>
  <c r="D3" i="2"/>
  <c r="B3" i="2"/>
  <c r="D2" i="2"/>
  <c r="B2" i="2"/>
  <c r="B1" i="2"/>
  <c r="D3" i="1"/>
  <c r="B3" i="1"/>
  <c r="D2" i="1"/>
  <c r="B2" i="1"/>
</calcChain>
</file>

<file path=xl/sharedStrings.xml><?xml version="1.0" encoding="utf-8"?>
<sst xmlns="http://schemas.openxmlformats.org/spreadsheetml/2006/main" count="151" uniqueCount="108">
  <si>
    <t>一级用例数</t>
  </si>
  <si>
    <t>版本号通过数</t>
  </si>
  <si>
    <t>二级用例数</t>
  </si>
  <si>
    <t>版本号失败数</t>
  </si>
  <si>
    <t>三级用例数</t>
  </si>
  <si>
    <t>版本号锁定数</t>
  </si>
  <si>
    <t>用例编号</t>
  </si>
  <si>
    <t>优先级</t>
  </si>
  <si>
    <t>功能模块</t>
  </si>
  <si>
    <t>测试点/用例描述</t>
  </si>
  <si>
    <t>测试步骤（含前置条件）</t>
  </si>
  <si>
    <t>期望输出</t>
  </si>
  <si>
    <t>实际输出</t>
  </si>
  <si>
    <t>评审情况</t>
  </si>
  <si>
    <t>执行人</t>
  </si>
  <si>
    <t>Bug ID</t>
  </si>
  <si>
    <t>Bug级别</t>
  </si>
  <si>
    <t>审核人</t>
  </si>
  <si>
    <t>备注</t>
  </si>
  <si>
    <t>老师端</t>
  </si>
  <si>
    <t>case_01</t>
  </si>
  <si>
    <t>岗位管理</t>
  </si>
  <si>
    <t>验证没有审核权限添加岗位</t>
  </si>
  <si>
    <t>1、登录老师账户
2、点击【添加岗位】
3、输入岗位名称
4、选择专业
5、选择版本号
6、选择薪酬范围
7、输入岗位描述
8、输入岗位任务
9、点击【保存】
10、添加岗位能力
11、选择掌握要求
12、输入能力标准
13、点击【保存】
14、点击【点击提交审核】</t>
  </si>
  <si>
    <t xml:space="preserve">
1、提交审核成功
2、显示状态为：待审核
3、学生端不显示该岗位</t>
  </si>
  <si>
    <t>通过</t>
  </si>
  <si>
    <t>case_02</t>
  </si>
  <si>
    <t>验证添加岗位基本信息填写不完全</t>
  </si>
  <si>
    <t xml:space="preserve">1、登录老师账户
2、点击【添加岗位】
3、输入岗位名称
4、选择专业
5、选择版本号
6、选择薪酬范围
7、不输入岗位描述
8、不输入岗位任务
9、点击【保存】
</t>
  </si>
  <si>
    <t xml:space="preserve">
1、提交审核失败
2、提示：“基本信息未填写完整”</t>
  </si>
  <si>
    <t>未通过</t>
  </si>
  <si>
    <t>case_03</t>
  </si>
  <si>
    <t>验证添加岗位，不填写岗位名称和专业</t>
  </si>
  <si>
    <t xml:space="preserve">1、登录老师账户
2、点击【添加岗位】
3、不输入岗位名称
4、不选择专业
5、选择版本号
6、选择薪酬范围
7、输入岗位描述
8、输入岗位任务
9、点击【保存】
</t>
  </si>
  <si>
    <t xml:space="preserve">
1、提交审核失败
2、提示：“请输入岗位名称和请选择专业吧”</t>
  </si>
  <si>
    <t>case_04</t>
  </si>
  <si>
    <t>验证添加岗位，不填写岗位技能</t>
  </si>
  <si>
    <t>1、登录老师账户
2、点击【添加岗位】
3、输入岗位名称
4、选择专业
5、选择版本号
6、选择薪酬范围
7、输入岗位描述
8、输入岗位任务
9、点击【保存】
10、不添加岗位能力
11、选择掌握要求
12、输入能力标准
13、点击【保存】</t>
  </si>
  <si>
    <t xml:space="preserve">
1、提交审核失败
2、提示:“请先添加技能！”</t>
  </si>
  <si>
    <t>case_05</t>
  </si>
  <si>
    <t>验证添加岗位，不填写岗位技能信息</t>
  </si>
  <si>
    <t>1、登录老师账户
2、点击【添加岗位】
3、输入岗位名称
4、选择专业
5、选择版本号
6、选择薪酬范围
7、输入岗位描述
8、输入岗位任务
9、点击【保存】
10、添加岗位能力
11、选择掌握要求
12、不输入能力标准
13、点击【保存】</t>
  </si>
  <si>
    <t xml:space="preserve">
1、提交审核失败
2、提示：“岗位信息未填写完整！”</t>
  </si>
  <si>
    <t>项目管理</t>
  </si>
  <si>
    <t>case_06</t>
  </si>
  <si>
    <t>验证没有审核权限添加项目</t>
  </si>
  <si>
    <t>1、登录老师账户
2、点击【添加项目】
3、输入项目名称
4、输入项目简介
4、选择专业
5、选择版本号
6、选择行业
7、选择实训类型
8、选择预期总工时
9、输入演示地址
10、添加封面
11、点击【保存】
12、选择实训任务：
①选择选择项目实训概述:（1）输入业务场景
                      （2）输入项目框架设计
                      （3）输入目标岗位及岗位能力模型
                      （4）输入能力要求
                      （5）输入项目要求
                      （6）输入项目产出物
                      （7）输入通过项目为学生带来的价值
②选择项目详解：       （1）输入项目背景
                      （2）输入项目展示效果
                      （3）输入用户分析
                      （4）输入项目价值  
                      （5）输入业务流程
                      （6）输入系统架构
                      （7）输入功能设计
③选择项目实训实施：   （1）实训项目与技能点关联
                      （2）输入实训计划
                      （3）输入实训启动
                      （4）输入需求分析、系统设计、编码与测试
                      （5）输入实训过程考核、结果考核 
                      （6）输入实训价值总结
13、选择实训任务
①点击【添加任务】:    （1）输入任务名称
                      （2）输入考核标准
                      （3）输入推荐工期
                      （4）点击【保存】
②选择训练技能：       （1）选择添加技能
                      （2）选择【保薪】或【提薪】输入预期工资
                      （3）点击【保存】
③选择任务步骤：       （1）添加步骤
                      （2）输入具体内容
                      （3）点击【保存】
④选择任务成果：       （1）输入成果名称
                      （2）选择提交类型
                      （3）输入成果描述
                      （4）选择是否必须提交
                      （5）点击【保存】
⑤选择代码检测：       （1）选择是否提交代码
⑥选择面试问题：       （1）添加面试问题
⑦选择个人环境：       （1）选择环境镜像
                      （2）点击【保存】
⑧点击【返回】
14、选择项目资源：
①文档：
其他文档：  （1）输入资源名称
           （2）选择提交类型
           （3）描述
           （4）点击【保存】
需求：     （1）输入资源名称
           （2）选择提交类型
           （3）描述
           （4）点击【保存】
设计：     （1）输入资源名称
           （2）选择提交类型
           （3）描述
           （4）点击【保存】
测试：     （1）输入资源名称
           （2）选择提交类型
           （3）描述
           （4）点击【保存】
部署：     （1）输入资源名称
           （2）选择提交类型
           （3）描述
           （4）点击【保存】
用户手册：  （1）输入资源名称
           （2）选择提交类型
           （3）描述
           （4）点击【保存】
任务指导书：（1）输入资源名称
           （2）选择提交类型
           （3）描述
           （4）点击【保存】
②代码：
代码管理：  （1）输入资源名称
           （2）选择提交类型
           （3）描述
           （4）点击【保存】
③其他资源：
其他：      （1）输入资源名称
           （2）选择提交类型
           （3）描述
           （4）点击【保存】
15、选择实训环境：（1）输入环境名称
                 （2）输入环境地址
                 （3）输入环境描述
                 （4）点击【保存】
16、选择前置项目：（1）添加与新项目关联的项目
                 （2）点击【保存】
17、点击【提交申请】</t>
  </si>
  <si>
    <t xml:space="preserve">
1、提交审核成功
2、显示状态为：待审核
3、学生端不显示该项目</t>
  </si>
  <si>
    <t>case_07</t>
  </si>
  <si>
    <t>验证添加项目，基本信息填写不完全</t>
  </si>
  <si>
    <t xml:space="preserve">1、登录老师账户
2、点击【添加项目】
3、输入项目名称
4、输入项目简介
4、选择专业
5、选择版本号
6、选择行业
7、选择实训类型
8、选择预期总工时
9、输入演示地址
10、添加封面
11、点击【保存】
</t>
  </si>
  <si>
    <t>添加计划</t>
  </si>
  <si>
    <t>case_08</t>
  </si>
  <si>
    <t>计划管理</t>
  </si>
  <si>
    <t>验证添加计划</t>
  </si>
  <si>
    <t>1、登录老师账户
2、点击【实训】
3、点击【添加计划】
4、选择班级
5、输入计划
6、选择时间
7、点击选择分组
8、点击【添加项目】
9、选择项目
10.点击【保存】</t>
  </si>
  <si>
    <t xml:space="preserve">
1、添加计划成功
2、显示状态为：进行中</t>
  </si>
  <si>
    <t>case_09</t>
  </si>
  <si>
    <t>验证添加计划，不添加项目</t>
  </si>
  <si>
    <t>1、登录老师账户
2、点击【实训】
3、点击【添加计划】
4、选择班级
5、输入计划
6、选择时间
7、点击选择分组
8、不点击【添加项目】
9.点击【保存】</t>
  </si>
  <si>
    <t>1、添加计划失败
2、提示：“每个小组下面至少添加一个项目！”</t>
  </si>
  <si>
    <t>添加答辩</t>
  </si>
  <si>
    <t>case_10</t>
  </si>
  <si>
    <t>答辩管理</t>
  </si>
  <si>
    <t>验证添加答辩</t>
  </si>
  <si>
    <t>1、登录老师账户
2、点击【答辩】
3、点击【发起答辩】
4、输入答辩名称
5、选择专业
6、选择时间
7、选择答辩时间
8、选择班级/计划
9、输入答辩地址
10.点击【保存】
11、点击【提交】</t>
  </si>
  <si>
    <t>1、提交成功
2、显示状态为：进行中</t>
  </si>
  <si>
    <t>case_11</t>
  </si>
  <si>
    <t>验证添加答辩，不输入答辩名称</t>
  </si>
  <si>
    <t>1、登录老师账户
2、点击【答辩】
3、点击【发起答辩】
4、不输入答辩名称
5、选择专业
6、选择时间
7、选择答辩时间
8、选择班级/计划
9、输入答辩地址
10.点击【保存】
11、点击【提交】</t>
  </si>
  <si>
    <t>1、提交失败
2、提示：“请输入答辩名称”</t>
  </si>
  <si>
    <t>case_12</t>
  </si>
  <si>
    <t>问答列表</t>
  </si>
  <si>
    <t>验证添加我要提问</t>
  </si>
  <si>
    <t>1、登录老师账户
2、点击【问答】
3、点击【问答列表】
4、点击【我要提问】
5、输入标题
6、选择问题类型
7、选择项目
8、选择任务
9、输入描述
10、点击【发布】</t>
  </si>
  <si>
    <t>1、发布成功
2、显示在问答列表中</t>
  </si>
  <si>
    <t>case_13</t>
  </si>
  <si>
    <t>验证添加我要提问，不填写标题</t>
  </si>
  <si>
    <t>1、登录老师账户
2、点击【问答】
3、点击【问答列表】
4、点击【我要提问】
5、不输入标题
6、选择问题类型
7、选择项目
8、选择任务
9、输入描述
10、点击【发布】</t>
  </si>
  <si>
    <t>1、发布失败
2、提示“请输入问题名称”</t>
  </si>
  <si>
    <t>学生端</t>
  </si>
  <si>
    <t>添加面试记录</t>
  </si>
  <si>
    <t>case_1</t>
  </si>
  <si>
    <t>面试记录</t>
  </si>
  <si>
    <t>验证添加面试记录</t>
  </si>
  <si>
    <t>1、登录学生账户
2、点击【面试】
3、点击【面试记录】
4、点击【添加面试记录】
5、输入岗位名称
6、输入公司名称
7、输入面试时间
8、选择时长
9、输入地点
10、输入面试官
11、输入记录-吐槽
12、选择面试结果
13、选择录音文件
14、输入面试问题
15、选择“我的回答”，输入答案内容分
16、选择“没有作答”
17、点击【提交】</t>
  </si>
  <si>
    <t>1、提交成功
2、显示在面试列表中</t>
  </si>
  <si>
    <t>case_2</t>
  </si>
  <si>
    <t>验证添加面试记录，不输入记录</t>
  </si>
  <si>
    <t>1、登录学生账户
2、点击【面试】
3、点击【面试记录】
4、点击【添加面试记录】
5、输入岗位名称
6、输入公司名称
7、输入面试时间
8、选择时长
9、输入地点
10、输入面试官
11、不输入记录-吐槽
12、选择面试结果
13、选择录音文件
14、输入面试问题
15、选择“我的回答”，输入答案内容分
16、选择“没有作答”
17、点击【提交】</t>
  </si>
  <si>
    <t>1、提交失败
2、提示：“记录-吐槽未填写!”</t>
  </si>
  <si>
    <t>提问/回答</t>
  </si>
  <si>
    <t>case_3</t>
  </si>
  <si>
    <t>1、登录学生账户
2、点击【问答】
3、点击【问答列表】
4、点击【我要提问】
5、输入标题
6、选择问题类型
7、选择项目
8、选择任务
9、输入描述
10、点击【发布】</t>
  </si>
  <si>
    <t>1、提问成功
2、显示在问题列表中</t>
  </si>
  <si>
    <t>case_4</t>
  </si>
  <si>
    <t>验证添加我要提问，不输入描述</t>
  </si>
  <si>
    <t>1、登录学生账户
2、点击【问答】
3、点击【问答列表】
4、点击【我要提问】
5、输入标题
6、选择问题类型
7、选择项目
8、选择任务
9、不输入描述
10、点击【发布】</t>
  </si>
  <si>
    <t>1、提问失败
2、提示：“请输入问题描述”</t>
  </si>
  <si>
    <t>case_5</t>
  </si>
  <si>
    <t>验证添加回答</t>
  </si>
  <si>
    <t>1、登录学生账户
2、点击【问答】
3、点击【问答列表】
4、点击【回答】
5、再次点击【回答】
6、输入回答内容
7、点击【发布】</t>
  </si>
  <si>
    <t>1、回答成功
2、显示在回答详情页面</t>
  </si>
  <si>
    <t>case_6</t>
  </si>
  <si>
    <t>验证添加回答，不输入回答内容</t>
  </si>
  <si>
    <t>1、登录学生账户
2、点击【问答】
3、点击【问答列表】
4、点击【回答】
5、再次点击【回答】
6、不输入回答内容
7、点击【发布】</t>
  </si>
  <si>
    <t>1、回答失败
2、提示：“回复信息不能为空哦”</t>
  </si>
  <si>
    <t>不通过</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</si>
</sst>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sz val="9"/>
      <name val="微软雅黑"/>
      <family val="2"/>
      <charset val="134"/>
    </font>
    <font>
      <b/>
      <sz val="9"/>
      <name val="微软雅黑"/>
      <family val="2"/>
      <charset val="134"/>
    </font>
    <font>
      <sz val="11"/>
      <name val="微软雅黑"/>
      <family val="2"/>
      <charset val="134"/>
    </font>
    <font>
      <b/>
      <sz val="12"/>
      <name val="宋体"/>
      <family val="3"/>
      <charset val="134"/>
    </font>
    <font>
      <b/>
      <sz val="11"/>
      <name val="微软雅黑"/>
      <family val="2"/>
      <charset val="134"/>
    </font>
    <font>
      <sz val="20"/>
      <color theme="1"/>
      <name val="宋体"/>
      <family val="3"/>
      <charset val="134"/>
      <scheme val="minor"/>
    </font>
    <font>
      <sz val="10.5"/>
      <color rgb="FF303849"/>
      <name val="Helvetica"/>
      <family val="2"/>
    </font>
    <font>
      <sz val="10.5"/>
      <color rgb="FF606266"/>
      <name val="Helvetica"/>
      <family val="2"/>
    </font>
    <font>
      <sz val="10.5"/>
      <color rgb="FF303849"/>
      <name val="宋体"/>
      <family val="3"/>
      <charset val="134"/>
    </font>
    <font>
      <sz val="11"/>
      <color rgb="FFFF0000"/>
      <name val="宋体"/>
      <family val="3"/>
      <charset val="134"/>
      <scheme val="minor"/>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FFEEB7"/>
        <bgColor indexed="64"/>
      </patternFill>
    </fill>
    <fill>
      <patternFill patternType="solid">
        <fgColor rgb="FFBEE395"/>
        <bgColor indexed="64"/>
      </patternFill>
    </fill>
    <fill>
      <patternFill patternType="solid">
        <fgColor indexed="43"/>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2">
    <xf numFmtId="0" fontId="0" fillId="0" borderId="0">
      <alignment vertical="center"/>
    </xf>
    <xf numFmtId="0" fontId="11" fillId="0" borderId="0"/>
  </cellStyleXfs>
  <cellXfs count="37">
    <xf numFmtId="0" fontId="0" fillId="0" borderId="0" xfId="0">
      <alignment vertical="center"/>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0" xfId="0" applyFill="1" applyAlignment="1">
      <alignment horizontal="center" vertical="center" wrapText="1"/>
    </xf>
    <xf numFmtId="0" fontId="0" fillId="0" borderId="4" xfId="0"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4" fillId="5" borderId="2"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7" fillId="0" borderId="1" xfId="0" applyFont="1" applyBorder="1" applyAlignment="1">
      <alignment horizontal="center" vertical="center"/>
    </xf>
  </cellXfs>
  <cellStyles count="2">
    <cellStyle name="常规" xfId="0" builtinId="0"/>
    <cellStyle name="常规 4"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zoomScale="70" zoomScaleNormal="70" workbookViewId="0">
      <selection activeCell="K6" sqref="K6"/>
    </sheetView>
  </sheetViews>
  <sheetFormatPr defaultColWidth="17.33203125" defaultRowHeight="46.95" customHeight="1" x14ac:dyDescent="0.25"/>
  <cols>
    <col min="1" max="1" width="12.21875" style="2" customWidth="1"/>
    <col min="2" max="2" width="8.33203125" style="2" customWidth="1"/>
    <col min="3" max="3" width="17.21875" style="2" customWidth="1"/>
    <col min="4" max="4" width="21.44140625" style="2" customWidth="1"/>
    <col min="5" max="5" width="57.6640625" style="14" customWidth="1"/>
    <col min="6" max="6" width="30.44140625" style="14" customWidth="1"/>
    <col min="7" max="7" width="32.21875" style="2" customWidth="1"/>
    <col min="8" max="9" width="17.33203125" style="2" customWidth="1"/>
    <col min="10" max="10" width="13" style="2" customWidth="1"/>
    <col min="11" max="11" width="12.6640625" style="2" customWidth="1"/>
    <col min="12" max="12" width="12.44140625" style="2" customWidth="1"/>
    <col min="13" max="13" width="14.33203125" style="2" customWidth="1"/>
    <col min="14" max="14" width="17.33203125" style="2" customWidth="1"/>
    <col min="15" max="16384" width="17.33203125" style="2"/>
  </cols>
  <sheetData>
    <row r="1" spans="1:13" s="1" customFormat="1" ht="16.95" customHeight="1" x14ac:dyDescent="0.25">
      <c r="A1" s="3" t="s">
        <v>0</v>
      </c>
      <c r="B1" s="4">
        <f>COUNTIF(G6:G1686,1)</f>
        <v>0</v>
      </c>
      <c r="C1" s="5" t="s">
        <v>1</v>
      </c>
      <c r="D1" s="5">
        <v>0</v>
      </c>
      <c r="E1" s="6"/>
      <c r="F1" s="7"/>
      <c r="G1" s="8"/>
      <c r="H1" s="9"/>
      <c r="I1" s="9"/>
      <c r="J1" s="9"/>
      <c r="K1" s="9"/>
      <c r="L1" s="9"/>
      <c r="M1" s="9"/>
    </row>
    <row r="2" spans="1:13" s="1" customFormat="1" ht="16.95" customHeight="1" x14ac:dyDescent="0.25">
      <c r="A2" s="3" t="s">
        <v>2</v>
      </c>
      <c r="B2" s="4">
        <f>COUNTIF(G4:G1686,2)</f>
        <v>0</v>
      </c>
      <c r="C2" s="5" t="s">
        <v>3</v>
      </c>
      <c r="D2" s="5">
        <f>COUNTIF(H1:H1174,"失败")</f>
        <v>0</v>
      </c>
      <c r="E2" s="6"/>
      <c r="F2" s="7"/>
      <c r="G2" s="8"/>
      <c r="H2" s="9"/>
      <c r="I2" s="9"/>
      <c r="J2" s="9"/>
      <c r="K2" s="9"/>
      <c r="L2" s="9"/>
      <c r="M2" s="9"/>
    </row>
    <row r="3" spans="1:13" s="1" customFormat="1" ht="16.95" customHeight="1" x14ac:dyDescent="0.25">
      <c r="A3" s="3" t="s">
        <v>4</v>
      </c>
      <c r="B3" s="4">
        <f>COUNTIF(G4:G1686,3)</f>
        <v>0</v>
      </c>
      <c r="C3" s="5" t="s">
        <v>5</v>
      </c>
      <c r="D3" s="5">
        <f>COUNTIF(H1:H1174,"锁定")</f>
        <v>0</v>
      </c>
      <c r="E3" s="6"/>
      <c r="F3" s="7"/>
      <c r="G3" s="8"/>
      <c r="H3" s="9"/>
      <c r="I3" s="9"/>
      <c r="J3" s="9"/>
      <c r="K3" s="9"/>
      <c r="L3" s="9"/>
      <c r="M3" s="9"/>
    </row>
    <row r="4" spans="1:13" s="1" customFormat="1" ht="46.95" customHeight="1" x14ac:dyDescent="0.25">
      <c r="A4" s="10" t="s">
        <v>6</v>
      </c>
      <c r="B4" s="10" t="s">
        <v>7</v>
      </c>
      <c r="C4" s="10" t="s">
        <v>8</v>
      </c>
      <c r="D4" s="10" t="s">
        <v>9</v>
      </c>
      <c r="E4" s="11" t="s">
        <v>10</v>
      </c>
      <c r="F4" s="11" t="s">
        <v>11</v>
      </c>
      <c r="G4" s="11" t="s">
        <v>12</v>
      </c>
      <c r="H4" s="11" t="s">
        <v>13</v>
      </c>
      <c r="I4" s="11" t="s">
        <v>14</v>
      </c>
      <c r="J4" s="11" t="s">
        <v>15</v>
      </c>
      <c r="K4" s="11" t="s">
        <v>16</v>
      </c>
      <c r="L4" s="11" t="s">
        <v>17</v>
      </c>
      <c r="M4" s="11" t="s">
        <v>18</v>
      </c>
    </row>
    <row r="5" spans="1:13" s="15" customFormat="1" ht="46.95" customHeight="1" x14ac:dyDescent="0.25">
      <c r="A5" s="29" t="s">
        <v>19</v>
      </c>
      <c r="B5" s="30"/>
      <c r="C5" s="30"/>
      <c r="D5" s="30"/>
      <c r="E5" s="30"/>
      <c r="F5" s="30"/>
      <c r="G5" s="30"/>
      <c r="H5" s="30"/>
      <c r="I5" s="30"/>
      <c r="J5" s="30"/>
      <c r="K5" s="30"/>
      <c r="L5" s="30"/>
      <c r="M5" s="31"/>
    </row>
    <row r="6" spans="1:13" ht="202.05" customHeight="1" x14ac:dyDescent="0.25">
      <c r="A6" s="2" t="s">
        <v>20</v>
      </c>
      <c r="B6" s="2">
        <v>1</v>
      </c>
      <c r="C6" s="34" t="s">
        <v>21</v>
      </c>
      <c r="D6" s="2" t="s">
        <v>22</v>
      </c>
      <c r="E6" s="14" t="s">
        <v>23</v>
      </c>
      <c r="F6" s="14" t="s">
        <v>24</v>
      </c>
      <c r="G6" s="18" t="s">
        <v>107</v>
      </c>
      <c r="H6" s="2" t="s">
        <v>25</v>
      </c>
      <c r="J6" s="17">
        <v>251</v>
      </c>
      <c r="K6" s="17">
        <v>1</v>
      </c>
    </row>
    <row r="7" spans="1:13" ht="166.05" customHeight="1" x14ac:dyDescent="0.25">
      <c r="A7" s="2" t="s">
        <v>26</v>
      </c>
      <c r="B7" s="2">
        <v>2</v>
      </c>
      <c r="C7" s="34"/>
      <c r="D7" s="2" t="s">
        <v>27</v>
      </c>
      <c r="E7" s="14" t="s">
        <v>28</v>
      </c>
      <c r="F7" s="14" t="s">
        <v>29</v>
      </c>
      <c r="G7" s="14"/>
      <c r="H7" s="2" t="s">
        <v>30</v>
      </c>
    </row>
    <row r="8" spans="1:13" ht="202.05" customHeight="1" x14ac:dyDescent="0.25">
      <c r="A8" s="2" t="s">
        <v>31</v>
      </c>
      <c r="B8" s="2">
        <v>2</v>
      </c>
      <c r="C8" s="34"/>
      <c r="D8" s="2" t="s">
        <v>32</v>
      </c>
      <c r="E8" s="14" t="s">
        <v>33</v>
      </c>
      <c r="F8" s="14" t="s">
        <v>34</v>
      </c>
      <c r="G8" s="14"/>
      <c r="H8" s="2" t="s">
        <v>30</v>
      </c>
    </row>
    <row r="9" spans="1:13" ht="202.05" customHeight="1" x14ac:dyDescent="0.25">
      <c r="A9" s="2" t="s">
        <v>35</v>
      </c>
      <c r="B9" s="2">
        <v>2</v>
      </c>
      <c r="C9" s="34"/>
      <c r="D9" s="2" t="s">
        <v>36</v>
      </c>
      <c r="E9" s="14" t="s">
        <v>37</v>
      </c>
      <c r="F9" s="14" t="s">
        <v>38</v>
      </c>
      <c r="G9" s="14"/>
      <c r="H9" s="2" t="s">
        <v>30</v>
      </c>
    </row>
    <row r="10" spans="1:13" ht="217.05" customHeight="1" x14ac:dyDescent="0.25">
      <c r="A10" s="2" t="s">
        <v>39</v>
      </c>
      <c r="B10" s="2">
        <v>2</v>
      </c>
      <c r="C10" s="34"/>
      <c r="D10" s="2" t="s">
        <v>40</v>
      </c>
      <c r="E10" s="14" t="s">
        <v>41</v>
      </c>
      <c r="F10" s="14" t="s">
        <v>42</v>
      </c>
      <c r="G10" s="14"/>
      <c r="H10" s="2" t="s">
        <v>30</v>
      </c>
    </row>
    <row r="11" spans="1:13" ht="60" customHeight="1" x14ac:dyDescent="0.25">
      <c r="A11" s="32" t="s">
        <v>43</v>
      </c>
      <c r="B11" s="33"/>
      <c r="C11" s="33"/>
      <c r="D11" s="33"/>
      <c r="E11" s="33"/>
      <c r="F11" s="33"/>
      <c r="G11" s="33"/>
      <c r="H11" s="33"/>
      <c r="I11" s="33"/>
      <c r="J11" s="33"/>
      <c r="K11" s="33"/>
      <c r="L11" s="33"/>
      <c r="M11" s="33"/>
    </row>
    <row r="12" spans="1:13" ht="265.95" customHeight="1" x14ac:dyDescent="0.25">
      <c r="A12" s="19" t="s">
        <v>44</v>
      </c>
      <c r="B12" s="19">
        <v>1</v>
      </c>
      <c r="C12" s="19" t="s">
        <v>43</v>
      </c>
      <c r="D12" s="19" t="s">
        <v>45</v>
      </c>
      <c r="E12" s="26" t="s">
        <v>46</v>
      </c>
      <c r="F12" s="26" t="s">
        <v>47</v>
      </c>
      <c r="G12" s="26"/>
      <c r="H12" s="19" t="s">
        <v>25</v>
      </c>
      <c r="I12" s="19"/>
      <c r="J12" s="19"/>
      <c r="K12" s="19"/>
      <c r="L12" s="19"/>
      <c r="M12" s="19"/>
    </row>
    <row r="13" spans="1:13" ht="361.95" customHeight="1" x14ac:dyDescent="0.25">
      <c r="A13" s="20"/>
      <c r="B13" s="20"/>
      <c r="C13" s="20"/>
      <c r="D13" s="20"/>
      <c r="E13" s="27"/>
      <c r="F13" s="27"/>
      <c r="G13" s="27"/>
      <c r="H13" s="20"/>
      <c r="I13" s="20"/>
      <c r="J13" s="20"/>
      <c r="K13" s="20"/>
      <c r="L13" s="20"/>
      <c r="M13" s="20"/>
    </row>
    <row r="14" spans="1:13" ht="399" customHeight="1" x14ac:dyDescent="0.25">
      <c r="A14" s="20"/>
      <c r="B14" s="20"/>
      <c r="C14" s="20"/>
      <c r="D14" s="20"/>
      <c r="E14" s="27"/>
      <c r="F14" s="27"/>
      <c r="G14" s="27"/>
      <c r="H14" s="20"/>
      <c r="I14" s="20"/>
      <c r="J14" s="20"/>
      <c r="K14" s="20"/>
      <c r="L14" s="20"/>
      <c r="M14" s="20"/>
    </row>
    <row r="15" spans="1:13" ht="409.05" customHeight="1" x14ac:dyDescent="0.25">
      <c r="A15" s="21"/>
      <c r="B15" s="21"/>
      <c r="C15" s="20"/>
      <c r="D15" s="21"/>
      <c r="E15" s="28"/>
      <c r="F15" s="28"/>
      <c r="G15" s="28"/>
      <c r="H15" s="21"/>
      <c r="I15" s="21"/>
      <c r="J15" s="21"/>
      <c r="K15" s="21"/>
      <c r="L15" s="21"/>
      <c r="M15" s="21"/>
    </row>
    <row r="16" spans="1:13" ht="178.95" customHeight="1" x14ac:dyDescent="0.25">
      <c r="A16" s="2" t="s">
        <v>48</v>
      </c>
      <c r="B16" s="2">
        <v>2</v>
      </c>
      <c r="C16" s="21"/>
      <c r="D16" s="16" t="s">
        <v>49</v>
      </c>
      <c r="E16" s="14" t="s">
        <v>50</v>
      </c>
      <c r="F16" s="14" t="s">
        <v>29</v>
      </c>
      <c r="G16" s="14" t="s">
        <v>29</v>
      </c>
      <c r="H16" s="2" t="s">
        <v>30</v>
      </c>
    </row>
    <row r="17" spans="1:13" ht="46.95" customHeight="1" x14ac:dyDescent="0.25">
      <c r="A17" s="32" t="s">
        <v>51</v>
      </c>
      <c r="B17" s="33"/>
      <c r="C17" s="33"/>
      <c r="D17" s="33"/>
      <c r="E17" s="33"/>
      <c r="F17" s="33"/>
      <c r="G17" s="33"/>
      <c r="H17" s="33"/>
      <c r="I17" s="33"/>
      <c r="J17" s="33"/>
      <c r="K17" s="33"/>
      <c r="L17" s="33"/>
      <c r="M17" s="33"/>
    </row>
    <row r="18" spans="1:13" ht="187.05" customHeight="1" x14ac:dyDescent="0.25">
      <c r="A18" s="2" t="s">
        <v>52</v>
      </c>
      <c r="B18" s="12">
        <v>1</v>
      </c>
      <c r="C18" s="22" t="s">
        <v>53</v>
      </c>
      <c r="D18" s="13" t="s">
        <v>54</v>
      </c>
      <c r="E18" s="14" t="s">
        <v>55</v>
      </c>
      <c r="F18" s="14" t="s">
        <v>56</v>
      </c>
      <c r="G18" s="14"/>
      <c r="H18" s="2" t="s">
        <v>25</v>
      </c>
    </row>
    <row r="19" spans="1:13" ht="165" customHeight="1" x14ac:dyDescent="0.25">
      <c r="A19" s="2" t="s">
        <v>57</v>
      </c>
      <c r="B19" s="12">
        <v>2</v>
      </c>
      <c r="C19" s="22"/>
      <c r="D19" s="13" t="s">
        <v>58</v>
      </c>
      <c r="E19" s="14" t="s">
        <v>59</v>
      </c>
      <c r="F19" s="14" t="s">
        <v>60</v>
      </c>
      <c r="G19" s="14"/>
      <c r="H19" s="2" t="s">
        <v>30</v>
      </c>
    </row>
    <row r="20" spans="1:13" ht="46.95" customHeight="1" x14ac:dyDescent="0.25">
      <c r="A20" s="32" t="s">
        <v>61</v>
      </c>
      <c r="B20" s="33"/>
      <c r="C20" s="33"/>
      <c r="D20" s="33"/>
      <c r="E20" s="33"/>
      <c r="F20" s="33"/>
      <c r="G20" s="33"/>
      <c r="H20" s="33"/>
      <c r="I20" s="33"/>
      <c r="J20" s="33"/>
      <c r="K20" s="33"/>
      <c r="L20" s="33"/>
      <c r="M20" s="33"/>
    </row>
    <row r="21" spans="1:13" ht="175.95" customHeight="1" x14ac:dyDescent="0.25">
      <c r="A21" s="2" t="s">
        <v>62</v>
      </c>
      <c r="B21" s="2">
        <v>1</v>
      </c>
      <c r="C21" s="35" t="s">
        <v>63</v>
      </c>
      <c r="D21" s="13" t="s">
        <v>64</v>
      </c>
      <c r="E21" s="14" t="s">
        <v>65</v>
      </c>
      <c r="F21" s="14" t="s">
        <v>66</v>
      </c>
      <c r="G21" s="14"/>
      <c r="H21" s="2" t="s">
        <v>25</v>
      </c>
    </row>
    <row r="22" spans="1:13" ht="165" customHeight="1" x14ac:dyDescent="0.25">
      <c r="A22" s="2" t="s">
        <v>67</v>
      </c>
      <c r="B22" s="2">
        <v>2</v>
      </c>
      <c r="C22" s="36"/>
      <c r="D22" s="13" t="s">
        <v>68</v>
      </c>
      <c r="E22" s="14" t="s">
        <v>69</v>
      </c>
      <c r="F22" s="14" t="s">
        <v>70</v>
      </c>
      <c r="G22" s="14"/>
      <c r="H22" s="2" t="s">
        <v>30</v>
      </c>
    </row>
    <row r="23" spans="1:13" ht="46.95" customHeight="1" x14ac:dyDescent="0.25">
      <c r="A23" s="32" t="s">
        <v>61</v>
      </c>
      <c r="B23" s="33"/>
      <c r="C23" s="33"/>
      <c r="D23" s="33"/>
      <c r="E23" s="33"/>
      <c r="F23" s="33"/>
      <c r="G23" s="33"/>
      <c r="H23" s="33"/>
      <c r="I23" s="33"/>
      <c r="J23" s="33"/>
      <c r="K23" s="33"/>
      <c r="L23" s="33"/>
      <c r="M23" s="33"/>
    </row>
    <row r="24" spans="1:13" ht="180" customHeight="1" x14ac:dyDescent="0.25">
      <c r="A24" s="2" t="s">
        <v>71</v>
      </c>
      <c r="B24" s="12">
        <v>1</v>
      </c>
      <c r="C24" s="22" t="s">
        <v>72</v>
      </c>
      <c r="D24" s="13" t="s">
        <v>73</v>
      </c>
      <c r="E24" s="14" t="s">
        <v>74</v>
      </c>
      <c r="F24" s="14" t="s">
        <v>75</v>
      </c>
      <c r="G24" s="14"/>
      <c r="H24" s="2" t="s">
        <v>25</v>
      </c>
    </row>
    <row r="25" spans="1:13" ht="160.94999999999999" customHeight="1" x14ac:dyDescent="0.25">
      <c r="A25" s="2" t="s">
        <v>76</v>
      </c>
      <c r="B25" s="12">
        <v>2</v>
      </c>
      <c r="C25" s="22"/>
      <c r="D25" s="13" t="s">
        <v>77</v>
      </c>
      <c r="E25" s="14" t="s">
        <v>78</v>
      </c>
      <c r="F25" s="14" t="s">
        <v>79</v>
      </c>
      <c r="G25" s="14"/>
      <c r="H25" s="2" t="s">
        <v>30</v>
      </c>
    </row>
    <row r="26" spans="1:13" ht="157.05000000000001" customHeight="1" x14ac:dyDescent="0.25">
      <c r="B26" s="12"/>
      <c r="C26" s="23"/>
      <c r="D26" s="13"/>
      <c r="G26" s="14"/>
    </row>
    <row r="27" spans="1:13" ht="157.05000000000001" customHeight="1" x14ac:dyDescent="0.25">
      <c r="B27" s="12"/>
      <c r="C27" s="24"/>
      <c r="D27" s="13"/>
      <c r="G27" s="14"/>
    </row>
    <row r="28" spans="1:13" ht="157.05000000000001" customHeight="1" x14ac:dyDescent="0.25">
      <c r="C28" s="24"/>
      <c r="G28" s="14"/>
    </row>
    <row r="29" spans="1:13" ht="157.05000000000001" customHeight="1" x14ac:dyDescent="0.25">
      <c r="C29" s="25"/>
      <c r="G29" s="14"/>
    </row>
    <row r="30" spans="1:13" ht="46.95" customHeight="1" x14ac:dyDescent="0.25">
      <c r="E30" s="2"/>
      <c r="F30" s="2"/>
    </row>
    <row r="31" spans="1:13" ht="46.95" customHeight="1" x14ac:dyDescent="0.25">
      <c r="E31" s="2"/>
      <c r="F31" s="2"/>
    </row>
    <row r="32" spans="1:13" ht="46.95" customHeight="1" x14ac:dyDescent="0.25">
      <c r="E32" s="2"/>
      <c r="F32" s="2"/>
    </row>
    <row r="33" s="2" customFormat="1" ht="46.95" customHeight="1" x14ac:dyDescent="0.25"/>
    <row r="34" s="2" customFormat="1" ht="46.95" customHeight="1" x14ac:dyDescent="0.25"/>
    <row r="35" s="2" customFormat="1" ht="46.95" customHeight="1" x14ac:dyDescent="0.25"/>
    <row r="36" s="2" customFormat="1" ht="46.95" customHeight="1" x14ac:dyDescent="0.25"/>
    <row r="37" s="2" customFormat="1" ht="46.95" customHeight="1" x14ac:dyDescent="0.25"/>
    <row r="38" s="2" customFormat="1" ht="46.95" customHeight="1" x14ac:dyDescent="0.25"/>
    <row r="39" s="2" customFormat="1" ht="46.95" customHeight="1" x14ac:dyDescent="0.25"/>
    <row r="40" s="2" customFormat="1" ht="46.95" customHeight="1" x14ac:dyDescent="0.25"/>
    <row r="41" s="2" customFormat="1" ht="46.95" customHeight="1" x14ac:dyDescent="0.25"/>
    <row r="42" s="2" customFormat="1" ht="46.95" customHeight="1" x14ac:dyDescent="0.25"/>
    <row r="43" s="2" customFormat="1" ht="46.95" customHeight="1" x14ac:dyDescent="0.25"/>
    <row r="44" s="2" customFormat="1" ht="46.95" customHeight="1" x14ac:dyDescent="0.25"/>
    <row r="45" s="2" customFormat="1" ht="46.95" customHeight="1" x14ac:dyDescent="0.25"/>
    <row r="46" s="2" customFormat="1" ht="46.95" customHeight="1" x14ac:dyDescent="0.25"/>
    <row r="47" s="2" customFormat="1" ht="46.95" customHeight="1" x14ac:dyDescent="0.25"/>
    <row r="48" s="2" customFormat="1" ht="46.95" customHeight="1" x14ac:dyDescent="0.25"/>
    <row r="49" s="2" customFormat="1" ht="46.95" customHeight="1" x14ac:dyDescent="0.25"/>
    <row r="50" s="2" customFormat="1" ht="46.95" customHeight="1" x14ac:dyDescent="0.25"/>
    <row r="51" s="2" customFormat="1" ht="46.95" customHeight="1" x14ac:dyDescent="0.25"/>
    <row r="52" s="2" customFormat="1" ht="46.95" customHeight="1" x14ac:dyDescent="0.25"/>
  </sheetData>
  <mergeCells count="23">
    <mergeCell ref="A5:M5"/>
    <mergeCell ref="A11:M11"/>
    <mergeCell ref="A17:M17"/>
    <mergeCell ref="A20:M20"/>
    <mergeCell ref="A23:M23"/>
    <mergeCell ref="A12:A15"/>
    <mergeCell ref="B12:B15"/>
    <mergeCell ref="C6:C10"/>
    <mergeCell ref="C12:C16"/>
    <mergeCell ref="C18:C19"/>
    <mergeCell ref="C21:C22"/>
    <mergeCell ref="G12:G15"/>
    <mergeCell ref="H12:H15"/>
    <mergeCell ref="I12:I15"/>
    <mergeCell ref="J12:J15"/>
    <mergeCell ref="K12:K15"/>
    <mergeCell ref="L12:L15"/>
    <mergeCell ref="M12:M15"/>
    <mergeCell ref="C24:C25"/>
    <mergeCell ref="C26:C29"/>
    <mergeCell ref="D12:D15"/>
    <mergeCell ref="E12:E15"/>
    <mergeCell ref="F12:F15"/>
  </mergeCells>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
  <sheetViews>
    <sheetView workbookViewId="0">
      <selection activeCell="G13" sqref="G13"/>
    </sheetView>
  </sheetViews>
  <sheetFormatPr defaultColWidth="9" defaultRowHeight="14.4" x14ac:dyDescent="0.25"/>
  <cols>
    <col min="1" max="1" width="11" customWidth="1"/>
    <col min="3" max="3" width="10.88671875" customWidth="1"/>
    <col min="4" max="4" width="22.77734375" customWidth="1"/>
    <col min="5" max="5" width="40" customWidth="1"/>
    <col min="6" max="7" width="25.33203125" customWidth="1"/>
  </cols>
  <sheetData>
    <row r="1" spans="1:13" s="1" customFormat="1" ht="16.95" customHeight="1" x14ac:dyDescent="0.25">
      <c r="A1" s="3" t="s">
        <v>0</v>
      </c>
      <c r="B1" s="4">
        <f>COUNTIF(G6:G1691,1)</f>
        <v>0</v>
      </c>
      <c r="C1" s="5" t="s">
        <v>1</v>
      </c>
      <c r="D1" s="5">
        <v>0</v>
      </c>
      <c r="E1" s="6"/>
      <c r="F1" s="7"/>
      <c r="G1" s="8"/>
      <c r="H1" s="9"/>
      <c r="I1" s="9"/>
      <c r="J1" s="9"/>
      <c r="K1" s="9"/>
      <c r="L1" s="9"/>
      <c r="M1" s="9"/>
    </row>
    <row r="2" spans="1:13" s="1" customFormat="1" ht="16.95" customHeight="1" x14ac:dyDescent="0.25">
      <c r="A2" s="3" t="s">
        <v>2</v>
      </c>
      <c r="B2" s="4">
        <f>COUNTIF(G4:G1691,2)</f>
        <v>0</v>
      </c>
      <c r="C2" s="5" t="s">
        <v>3</v>
      </c>
      <c r="D2" s="5">
        <f>COUNTIF(H1:H1179,"失败")</f>
        <v>0</v>
      </c>
      <c r="E2" s="6"/>
      <c r="F2" s="7"/>
      <c r="G2" s="8"/>
      <c r="H2" s="9"/>
      <c r="I2" s="9"/>
      <c r="J2" s="9"/>
      <c r="K2" s="9"/>
      <c r="L2" s="9"/>
      <c r="M2" s="9"/>
    </row>
    <row r="3" spans="1:13" s="1" customFormat="1" ht="16.95" customHeight="1" x14ac:dyDescent="0.25">
      <c r="A3" s="3" t="s">
        <v>4</v>
      </c>
      <c r="B3" s="4">
        <f>COUNTIF(G4:G1691,3)</f>
        <v>0</v>
      </c>
      <c r="C3" s="5" t="s">
        <v>5</v>
      </c>
      <c r="D3" s="5">
        <f>COUNTIF(H1:H1179,"锁定")</f>
        <v>0</v>
      </c>
      <c r="E3" s="6"/>
      <c r="F3" s="7"/>
      <c r="G3" s="8"/>
      <c r="H3" s="9"/>
      <c r="I3" s="9"/>
      <c r="J3" s="9"/>
      <c r="K3" s="9"/>
      <c r="L3" s="9"/>
      <c r="M3" s="9"/>
    </row>
    <row r="4" spans="1:13" s="1" customFormat="1" ht="46.95" customHeight="1" x14ac:dyDescent="0.25">
      <c r="A4" s="10" t="s">
        <v>6</v>
      </c>
      <c r="B4" s="10" t="s">
        <v>7</v>
      </c>
      <c r="C4" s="10" t="s">
        <v>8</v>
      </c>
      <c r="D4" s="10" t="s">
        <v>9</v>
      </c>
      <c r="E4" s="11" t="s">
        <v>10</v>
      </c>
      <c r="F4" s="11" t="s">
        <v>11</v>
      </c>
      <c r="G4" s="11" t="s">
        <v>12</v>
      </c>
      <c r="H4" s="11" t="s">
        <v>13</v>
      </c>
      <c r="I4" s="11" t="s">
        <v>14</v>
      </c>
      <c r="J4" s="11" t="s">
        <v>15</v>
      </c>
      <c r="K4" s="11" t="s">
        <v>16</v>
      </c>
      <c r="L4" s="11" t="s">
        <v>17</v>
      </c>
      <c r="M4" s="11" t="s">
        <v>18</v>
      </c>
    </row>
    <row r="5" spans="1:13" s="2" customFormat="1" ht="46.95" customHeight="1" x14ac:dyDescent="0.25">
      <c r="A5" s="32" t="s">
        <v>80</v>
      </c>
      <c r="B5" s="33"/>
      <c r="C5" s="33"/>
      <c r="D5" s="33"/>
      <c r="E5" s="33"/>
      <c r="F5" s="33"/>
      <c r="G5" s="33"/>
      <c r="H5" s="33"/>
      <c r="I5" s="33"/>
      <c r="J5" s="33"/>
      <c r="K5" s="33"/>
      <c r="L5" s="33"/>
      <c r="M5" s="33"/>
    </row>
    <row r="6" spans="1:13" s="2" customFormat="1" ht="46.95" customHeight="1" x14ac:dyDescent="0.25">
      <c r="A6" s="32" t="s">
        <v>81</v>
      </c>
      <c r="B6" s="33"/>
      <c r="C6" s="33"/>
      <c r="D6" s="33"/>
      <c r="E6" s="33"/>
      <c r="F6" s="33"/>
      <c r="G6" s="33"/>
      <c r="H6" s="33"/>
      <c r="I6" s="33"/>
      <c r="J6" s="33"/>
      <c r="K6" s="33"/>
      <c r="L6" s="33"/>
      <c r="M6" s="33"/>
    </row>
    <row r="7" spans="1:13" s="2" customFormat="1" ht="259.95" customHeight="1" x14ac:dyDescent="0.25">
      <c r="A7" s="2" t="s">
        <v>82</v>
      </c>
      <c r="B7" s="12">
        <v>1</v>
      </c>
      <c r="C7" s="36" t="s">
        <v>83</v>
      </c>
      <c r="D7" s="13" t="s">
        <v>84</v>
      </c>
      <c r="E7" s="14" t="s">
        <v>85</v>
      </c>
      <c r="F7" s="14" t="s">
        <v>86</v>
      </c>
      <c r="H7" s="2" t="s">
        <v>25</v>
      </c>
    </row>
    <row r="8" spans="1:13" s="2" customFormat="1" ht="238.95" customHeight="1" x14ac:dyDescent="0.25">
      <c r="A8" s="2" t="s">
        <v>87</v>
      </c>
      <c r="B8" s="12">
        <v>2</v>
      </c>
      <c r="C8" s="36"/>
      <c r="D8" s="13" t="s">
        <v>88</v>
      </c>
      <c r="E8" s="14" t="s">
        <v>89</v>
      </c>
      <c r="F8" s="14" t="s">
        <v>90</v>
      </c>
      <c r="G8" s="14"/>
      <c r="H8" s="2" t="s">
        <v>30</v>
      </c>
    </row>
    <row r="9" spans="1:13" s="2" customFormat="1" ht="46.95" customHeight="1" x14ac:dyDescent="0.25">
      <c r="A9" s="32" t="s">
        <v>91</v>
      </c>
      <c r="B9" s="33"/>
      <c r="C9" s="33"/>
      <c r="D9" s="33"/>
      <c r="E9" s="33"/>
      <c r="F9" s="33"/>
      <c r="G9" s="33"/>
      <c r="H9" s="33"/>
      <c r="I9" s="33"/>
      <c r="J9" s="33"/>
      <c r="K9" s="33"/>
      <c r="L9" s="33"/>
      <c r="M9" s="33"/>
    </row>
    <row r="10" spans="1:13" s="2" customFormat="1" ht="157.05000000000001" customHeight="1" x14ac:dyDescent="0.25">
      <c r="A10" s="2" t="s">
        <v>92</v>
      </c>
      <c r="B10" s="12">
        <v>1</v>
      </c>
      <c r="C10" s="23" t="s">
        <v>72</v>
      </c>
      <c r="D10" s="13" t="s">
        <v>73</v>
      </c>
      <c r="E10" s="14" t="s">
        <v>93</v>
      </c>
      <c r="F10" s="14" t="s">
        <v>94</v>
      </c>
      <c r="G10" s="14" t="s">
        <v>94</v>
      </c>
      <c r="H10" s="2" t="s">
        <v>25</v>
      </c>
    </row>
    <row r="11" spans="1:13" s="2" customFormat="1" ht="157.05000000000001" customHeight="1" x14ac:dyDescent="0.25">
      <c r="A11" s="2" t="s">
        <v>95</v>
      </c>
      <c r="B11" s="12">
        <v>2</v>
      </c>
      <c r="C11" s="24"/>
      <c r="D11" s="13" t="s">
        <v>96</v>
      </c>
      <c r="E11" s="14" t="s">
        <v>97</v>
      </c>
      <c r="F11" s="14" t="s">
        <v>98</v>
      </c>
      <c r="G11" s="14"/>
      <c r="H11" s="2" t="s">
        <v>30</v>
      </c>
    </row>
    <row r="12" spans="1:13" s="2" customFormat="1" ht="157.05000000000001" customHeight="1" x14ac:dyDescent="0.25">
      <c r="A12" s="2" t="s">
        <v>99</v>
      </c>
      <c r="B12" s="2">
        <v>1</v>
      </c>
      <c r="C12" s="24"/>
      <c r="D12" s="2" t="s">
        <v>100</v>
      </c>
      <c r="E12" s="14" t="s">
        <v>101</v>
      </c>
      <c r="F12" s="14" t="s">
        <v>102</v>
      </c>
      <c r="G12" s="14"/>
      <c r="H12" s="2" t="s">
        <v>25</v>
      </c>
    </row>
    <row r="13" spans="1:13" s="2" customFormat="1" ht="157.05000000000001" customHeight="1" x14ac:dyDescent="0.25">
      <c r="A13" s="2" t="s">
        <v>103</v>
      </c>
      <c r="B13" s="2">
        <v>2</v>
      </c>
      <c r="C13" s="25"/>
      <c r="D13" s="2" t="s">
        <v>104</v>
      </c>
      <c r="E13" s="14" t="s">
        <v>105</v>
      </c>
      <c r="F13" s="14" t="s">
        <v>106</v>
      </c>
      <c r="G13" s="14"/>
      <c r="H13" s="2" t="s">
        <v>30</v>
      </c>
    </row>
  </sheetData>
  <mergeCells count="5">
    <mergeCell ref="A5:M5"/>
    <mergeCell ref="A6:M6"/>
    <mergeCell ref="A9:M9"/>
    <mergeCell ref="C7:C8"/>
    <mergeCell ref="C10:C13"/>
  </mergeCells>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老师端</vt:lpstr>
      <vt:lpstr>学生端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42110</cp:lastModifiedBy>
  <dcterms:created xsi:type="dcterms:W3CDTF">2021-05-16T03:09:00Z</dcterms:created>
  <dcterms:modified xsi:type="dcterms:W3CDTF">2021-05-17T09:31:08Z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0FE0B417F57E4B98A7F88D5036F801DA</vt:lpwstr>
  </property>
  <property fmtid="{D5CDD505-2E9C-101B-9397-08002B2CF9AE}" pid="3" name="KSOProductBuildVer">
    <vt:lpwstr>2052-11.1.0.10495</vt:lpwstr>
  </property>
</Properties>
</file>